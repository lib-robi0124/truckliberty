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eur-my.sharepoint.com/personal/dragan_risteski_libertysteelgroup_com/Documents/Desktop/Transport Kamionski/Maj - Dekemvri 2023/"/>
    </mc:Choice>
  </mc:AlternateContent>
  <xr:revisionPtr revIDLastSave="43" documentId="8_{030B4AC0-9906-48A1-8446-35488333602C}" xr6:coauthVersionLast="47" xr6:coauthVersionMax="47" xr10:uidLastSave="{C54B83B0-94F2-4EDE-A2AD-49CA76AFA88E}"/>
  <bookViews>
    <workbookView xWindow="-120" yWindow="-120" windowWidth="20730" windowHeight="11040" activeTab="2" xr2:uid="{00000000-000D-0000-FFFF-FFFF00000000}"/>
  </bookViews>
  <sheets>
    <sheet name="Balkan_Region" sheetId="1" r:id="rId1"/>
    <sheet name="Ro_&amp;_Bg_Region" sheetId="2" r:id="rId2"/>
    <sheet name="Greece_Reg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4" i="3" l="1"/>
  <c r="H14" i="3" s="1"/>
  <c r="I14" i="3" s="1"/>
  <c r="G13" i="3"/>
  <c r="H13" i="3" s="1"/>
  <c r="I13" i="3" s="1"/>
  <c r="G12" i="3"/>
  <c r="H12" i="3" s="1"/>
  <c r="I12" i="3" s="1"/>
  <c r="G11" i="3"/>
  <c r="H11" i="3" s="1"/>
  <c r="I11" i="3" s="1"/>
  <c r="G10" i="3"/>
  <c r="H10" i="3" s="1"/>
  <c r="I10" i="3" s="1"/>
  <c r="G9" i="3"/>
  <c r="H9" i="3" s="1"/>
  <c r="I9" i="3" s="1"/>
  <c r="G8" i="3"/>
  <c r="H8" i="3" s="1"/>
  <c r="I8" i="3" s="1"/>
  <c r="G7" i="3"/>
  <c r="H7" i="3" s="1"/>
  <c r="I7" i="3" s="1"/>
  <c r="G6" i="3"/>
  <c r="H6" i="3" s="1"/>
  <c r="I6" i="3" s="1"/>
  <c r="G5" i="3"/>
  <c r="H5" i="3" s="1"/>
  <c r="I5" i="3" s="1"/>
  <c r="G4" i="3"/>
  <c r="H4" i="3" s="1"/>
  <c r="I4" i="3" s="1"/>
  <c r="G3" i="3"/>
  <c r="H3" i="3" s="1"/>
  <c r="I3" i="3" s="1"/>
  <c r="G2" i="3"/>
  <c r="H2" i="3" s="1"/>
  <c r="I2" i="3" s="1"/>
</calcChain>
</file>

<file path=xl/sharedStrings.xml><?xml version="1.0" encoding="utf-8"?>
<sst xmlns="http://schemas.openxmlformats.org/spreadsheetml/2006/main" count="235" uniqueCount="100">
  <si>
    <t>From</t>
  </si>
  <si>
    <t>To (destination)</t>
  </si>
  <si>
    <t>To (country)</t>
  </si>
  <si>
    <t>COUNTER OFFERED prices</t>
  </si>
  <si>
    <t>Fuel price</t>
  </si>
  <si>
    <t>New Fuel price</t>
  </si>
  <si>
    <t>New Price</t>
  </si>
  <si>
    <t>Skopje</t>
  </si>
  <si>
    <t>Belisce</t>
  </si>
  <si>
    <t>HR</t>
  </si>
  <si>
    <t>Bestovje</t>
  </si>
  <si>
    <t>Donji Stupnik</t>
  </si>
  <si>
    <t>DJAKOVO</t>
  </si>
  <si>
    <t>LIPOVLJANI</t>
  </si>
  <si>
    <t>KOTORIBA</t>
  </si>
  <si>
    <t>SESVETE</t>
  </si>
  <si>
    <t>Varazdin</t>
  </si>
  <si>
    <t>VUKOVAR</t>
  </si>
  <si>
    <t>ZAGREB</t>
  </si>
  <si>
    <t>STORE</t>
  </si>
  <si>
    <t>SL</t>
  </si>
  <si>
    <t>Cerklje na gorenjskem</t>
  </si>
  <si>
    <t xml:space="preserve">Podlog &amp; Savinjski doline </t>
  </si>
  <si>
    <t xml:space="preserve">Sempeter v Savinjski dolini </t>
  </si>
  <si>
    <t>Logatec</t>
  </si>
  <si>
    <t>Naklo</t>
  </si>
  <si>
    <t>Kidricevo</t>
  </si>
  <si>
    <t>PTUJ</t>
  </si>
  <si>
    <t>Kranj</t>
  </si>
  <si>
    <t>Ljubljana</t>
  </si>
  <si>
    <t>Sezana</t>
  </si>
  <si>
    <t>MIKLAVZ</t>
  </si>
  <si>
    <t>LESKOVAC</t>
  </si>
  <si>
    <t>RS</t>
  </si>
  <si>
    <t>Vranje</t>
  </si>
  <si>
    <t>Sremska Mitrovica</t>
  </si>
  <si>
    <t>BACKA PALANKA</t>
  </si>
  <si>
    <t>KOVIN</t>
  </si>
  <si>
    <t>Nova Topola Gradiska</t>
  </si>
  <si>
    <t>BiH</t>
  </si>
  <si>
    <t>GEBZE</t>
  </si>
  <si>
    <t>TR</t>
  </si>
  <si>
    <t>GEMLIK</t>
  </si>
  <si>
    <t>KOCAELI</t>
  </si>
  <si>
    <t>STARACHOWICE</t>
  </si>
  <si>
    <t>PL</t>
  </si>
  <si>
    <t>Pusztamonostor</t>
  </si>
  <si>
    <t>HU</t>
  </si>
  <si>
    <t>Hermalle Huy</t>
  </si>
  <si>
    <t>Bel</t>
  </si>
  <si>
    <t>PLOVDIV</t>
  </si>
  <si>
    <t>BG</t>
  </si>
  <si>
    <t>RUSE</t>
  </si>
  <si>
    <t>PERNIK</t>
  </si>
  <si>
    <t>SOFIA</t>
  </si>
  <si>
    <t>VARNA</t>
  </si>
  <si>
    <t>Aricestii Rahtivani</t>
  </si>
  <si>
    <t>RO</t>
  </si>
  <si>
    <t>Bacau</t>
  </si>
  <si>
    <t>BAiCOi</t>
  </si>
  <si>
    <t>BISTRITA</t>
  </si>
  <si>
    <t>BRASOV</t>
  </si>
  <si>
    <t>Bucuresti</t>
  </si>
  <si>
    <t>BUZAU</t>
  </si>
  <si>
    <t>Buzias</t>
  </si>
  <si>
    <t>CEPTURA DE JOS PRAHOVA</t>
  </si>
  <si>
    <t>CIULNITA</t>
  </si>
  <si>
    <t>FILIPESTII DE PADURE</t>
  </si>
  <si>
    <t>Fundulea</t>
  </si>
  <si>
    <t>GAESTI</t>
  </si>
  <si>
    <t>GALATI</t>
  </si>
  <si>
    <t>GIURGIU</t>
  </si>
  <si>
    <t>ORADEA</t>
  </si>
  <si>
    <t>Ploiesti</t>
  </si>
  <si>
    <t>POPESTI LEORDENI, ILFOV</t>
  </si>
  <si>
    <t>RAMNICU VALCEA</t>
  </si>
  <si>
    <t>TECUCI</t>
  </si>
  <si>
    <t>Vacaresti</t>
  </si>
  <si>
    <t>VALENII DE MUNTE</t>
  </si>
  <si>
    <t>Constanta</t>
  </si>
  <si>
    <t>ASPROPYRGOS</t>
  </si>
  <si>
    <t>KARDITSA</t>
  </si>
  <si>
    <t>LAMIA</t>
  </si>
  <si>
    <t>NAOUSSA</t>
  </si>
  <si>
    <t>SERRES</t>
  </si>
  <si>
    <t>TRIKALA</t>
  </si>
  <si>
    <t>VOLOS</t>
  </si>
  <si>
    <t>RENTIS</t>
  </si>
  <si>
    <t>XANTHI</t>
  </si>
  <si>
    <t>Ceni 
Tender</t>
  </si>
  <si>
    <t>Nafta 
Tender</t>
  </si>
  <si>
    <t>Nafta</t>
  </si>
  <si>
    <t>Litri po 
destinacija</t>
  </si>
  <si>
    <t>Rzlika MKD</t>
  </si>
  <si>
    <t>Razlika EUR</t>
  </si>
  <si>
    <t>Inofyta</t>
  </si>
  <si>
    <t>Larissa</t>
  </si>
  <si>
    <t>Thessaloniki</t>
  </si>
  <si>
    <t>PATRA</t>
  </si>
  <si>
    <t>Ceni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</si>
</sst>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 &quot;* #,##0&quot; &quot;;&quot;-&quot;* #,##0&quot; &quot;;&quot; &quot;* &quot;-&quot;#&quot; &quot;;&quot; &quot;@&quot; &quot;"/>
    <numFmt numFmtId="165" formatCode="&quot; &quot;* #,##0&quot;      &quot;;&quot;-&quot;* #,##0&quot;      &quot;;&quot; &quot;* &quot;-      &quot;;&quot; &quot;@&quot; &quot;"/>
    <numFmt numFmtId="166" formatCode="#,##0&quot; &quot;;&quot;(&quot;#,##0&quot;)&quot;"/>
    <numFmt numFmtId="167" formatCode="&quot; &quot;* #,##0.00&quot; &quot;;&quot;-&quot;* #,##0.00&quot; &quot;;&quot; &quot;* &quot;-&quot;#&quot; &quot;;&quot; &quot;@&quot; &quot;"/>
    <numFmt numFmtId="168" formatCode="_-* #,##0_-;\-* #,##0_-;_-* &quot;-&quot;??_-;_-@_-"/>
  </numFmts>
  <fonts count="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DDEBF7"/>
        <bgColor rgb="FFDDEBF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rgb="FFF4B08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164" fontId="2" fillId="4" borderId="2" xfId="1" applyNumberFormat="1" applyFont="1" applyFill="1" applyBorder="1"/>
    <xf numFmtId="165" fontId="3" fillId="4" borderId="2" xfId="0" applyNumberFormat="1" applyFont="1" applyFill="1" applyBorder="1" applyAlignment="1">
      <alignment horizontal="right" vertical="top" wrapText="1"/>
    </xf>
    <xf numFmtId="164" fontId="2" fillId="3" borderId="2" xfId="1" applyNumberFormat="1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0" borderId="3" xfId="0" applyFont="1" applyBorder="1"/>
    <xf numFmtId="0" fontId="2" fillId="3" borderId="4" xfId="0" applyFont="1" applyFill="1" applyBorder="1"/>
    <xf numFmtId="165" fontId="3" fillId="3" borderId="2" xfId="0" applyNumberFormat="1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5" borderId="5" xfId="0" applyFont="1" applyFill="1" applyBorder="1"/>
    <xf numFmtId="165" fontId="3" fillId="3" borderId="1" xfId="0" applyNumberFormat="1" applyFont="1" applyFill="1" applyBorder="1" applyAlignment="1">
      <alignment horizontal="center" vertical="center" wrapText="1"/>
    </xf>
    <xf numFmtId="164" fontId="2" fillId="5" borderId="2" xfId="1" applyNumberFormat="1" applyFont="1" applyFill="1" applyBorder="1"/>
    <xf numFmtId="0" fontId="2" fillId="3" borderId="5" xfId="0" applyFont="1" applyFill="1" applyBorder="1"/>
    <xf numFmtId="165" fontId="3" fillId="3" borderId="1" xfId="0" applyNumberFormat="1" applyFont="1" applyFill="1" applyBorder="1" applyAlignment="1">
      <alignment horizontal="right" vertical="top" wrapText="1"/>
    </xf>
    <xf numFmtId="1" fontId="4" fillId="3" borderId="2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/>
    </xf>
    <xf numFmtId="166" fontId="3" fillId="4" borderId="2" xfId="0" applyNumberFormat="1" applyFont="1" applyFill="1" applyBorder="1" applyAlignment="1">
      <alignment horizontal="right" vertical="center" wrapText="1"/>
    </xf>
    <xf numFmtId="165" fontId="3" fillId="3" borderId="7" xfId="0" applyNumberFormat="1" applyFont="1" applyFill="1" applyBorder="1" applyAlignment="1">
      <alignment horizontal="right" vertical="top" wrapText="1"/>
    </xf>
    <xf numFmtId="0" fontId="2" fillId="3" borderId="6" xfId="0" applyFont="1" applyFill="1" applyBorder="1"/>
    <xf numFmtId="166" fontId="0" fillId="0" borderId="0" xfId="0" applyNumberFormat="1"/>
    <xf numFmtId="165" fontId="0" fillId="0" borderId="0" xfId="0" applyNumberFormat="1"/>
    <xf numFmtId="0" fontId="5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4" fontId="5" fillId="6" borderId="6" xfId="0" applyNumberFormat="1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/>
    </xf>
    <xf numFmtId="0" fontId="5" fillId="7" borderId="6" xfId="0" applyFont="1" applyFill="1" applyBorder="1"/>
    <xf numFmtId="0" fontId="5" fillId="0" borderId="6" xfId="0" applyFont="1" applyBorder="1"/>
    <xf numFmtId="168" fontId="5" fillId="8" borderId="6" xfId="1" applyNumberFormat="1" applyFont="1" applyFill="1" applyBorder="1"/>
    <xf numFmtId="0" fontId="5" fillId="9" borderId="6" xfId="0" applyFont="1" applyFill="1" applyBorder="1"/>
    <xf numFmtId="0" fontId="5" fillId="9" borderId="6" xfId="0" applyFont="1" applyFill="1" applyBorder="1" applyAlignment="1">
      <alignment horizontal="right"/>
    </xf>
    <xf numFmtId="4" fontId="5" fillId="9" borderId="6" xfId="0" applyNumberFormat="1" applyFont="1" applyFill="1" applyBorder="1" applyAlignment="1">
      <alignment horizontal="right"/>
    </xf>
    <xf numFmtId="3" fontId="7" fillId="0" borderId="6" xfId="0" applyNumberFormat="1" applyFont="1" applyBorder="1" applyAlignment="1">
      <alignment horizontal="right"/>
    </xf>
    <xf numFmtId="168" fontId="5" fillId="9" borderId="6" xfId="1" applyNumberFormat="1" applyFont="1" applyFill="1" applyBorder="1"/>
    <xf numFmtId="168" fontId="8" fillId="9" borderId="6" xfId="1" applyNumberFormat="1" applyFont="1" applyFill="1" applyBorder="1"/>
    <xf numFmtId="166" fontId="4" fillId="10" borderId="2" xfId="0" applyNumberFormat="1" applyFont="1" applyFill="1" applyBorder="1" applyAlignment="1">
      <alignment horizontal="right" vertical="top" wrapText="1"/>
    </xf>
    <xf numFmtId="0" fontId="3" fillId="10" borderId="2" xfId="0" applyFont="1" applyFill="1" applyBorder="1" applyAlignment="1">
      <alignment horizontal="right" vertical="center"/>
    </xf>
    <xf numFmtId="165" fontId="3" fillId="10" borderId="2" xfId="0" applyNumberFormat="1" applyFont="1" applyFill="1" applyBorder="1" applyAlignment="1">
      <alignment horizontal="right" vertical="top" wrapText="1"/>
    </xf>
    <xf numFmtId="164" fontId="2" fillId="10" borderId="2" xfId="1" applyNumberFormat="1" applyFont="1" applyFill="1" applyBorder="1"/>
  </cellXfs>
  <cellStyles count="2">
    <cellStyle name="Comma 2 2" xfId="1" xr:uid="{00000000-0005-0000-0000-000000000000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F3" sqref="F3"/>
    </sheetView>
  </sheetViews>
  <sheetFormatPr defaultRowHeight="15" x14ac:dyDescent="0.25"/>
  <cols>
    <col min="1" max="1" width="6.5703125" customWidth="1"/>
    <col min="2" max="2" width="21.140625" customWidth="1"/>
    <col min="3" max="3" width="9.140625" customWidth="1"/>
    <col min="4" max="4" width="14.7109375" customWidth="1"/>
    <col min="5" max="5" width="8.42578125" customWidth="1"/>
    <col min="6" max="6" width="12" customWidth="1"/>
    <col min="7" max="7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3" t="s">
        <v>7</v>
      </c>
      <c r="B2" s="4" t="s">
        <v>8</v>
      </c>
      <c r="C2" s="3" t="s">
        <v>9</v>
      </c>
      <c r="D2" s="23">
        <v>1000</v>
      </c>
      <c r="E2" s="5">
        <v>84.5</v>
      </c>
      <c r="F2" s="5">
        <v>74</v>
      </c>
      <c r="G2" s="6">
        <f t="shared" ref="G2:G35" si="0">D2*(1+(F2-E2)/E2*0.3)</f>
        <v>962.72189349112421</v>
      </c>
      <c r="H2" s="26"/>
    </row>
    <row r="3" spans="1:8" x14ac:dyDescent="0.25">
      <c r="A3" s="3" t="s">
        <v>7</v>
      </c>
      <c r="B3" s="4" t="s">
        <v>10</v>
      </c>
      <c r="C3" s="3" t="s">
        <v>9</v>
      </c>
      <c r="D3" s="7">
        <v>1200</v>
      </c>
      <c r="E3" s="5">
        <v>84.5</v>
      </c>
      <c r="F3" s="5">
        <v>74</v>
      </c>
      <c r="G3" s="6">
        <f t="shared" si="0"/>
        <v>1155.2662721893491</v>
      </c>
      <c r="H3" s="26"/>
    </row>
    <row r="4" spans="1:8" x14ac:dyDescent="0.25">
      <c r="A4" s="3" t="s">
        <v>7</v>
      </c>
      <c r="B4" s="4" t="s">
        <v>11</v>
      </c>
      <c r="C4" s="3" t="s">
        <v>9</v>
      </c>
      <c r="D4" s="7">
        <v>1100</v>
      </c>
      <c r="E4" s="5">
        <v>84.5</v>
      </c>
      <c r="F4" s="5">
        <v>74</v>
      </c>
      <c r="G4" s="6">
        <f t="shared" si="0"/>
        <v>1058.9940828402366</v>
      </c>
      <c r="H4" s="26"/>
    </row>
    <row r="5" spans="1:8" x14ac:dyDescent="0.25">
      <c r="A5" s="3" t="s">
        <v>7</v>
      </c>
      <c r="B5" s="4" t="s">
        <v>12</v>
      </c>
      <c r="C5" s="3" t="s">
        <v>9</v>
      </c>
      <c r="D5" s="7">
        <v>980</v>
      </c>
      <c r="E5" s="5">
        <v>84.5</v>
      </c>
      <c r="F5" s="5">
        <v>74</v>
      </c>
      <c r="G5" s="6">
        <f t="shared" si="0"/>
        <v>943.46745562130172</v>
      </c>
      <c r="H5" s="26"/>
    </row>
    <row r="6" spans="1:8" x14ac:dyDescent="0.25">
      <c r="A6" s="3" t="s">
        <v>7</v>
      </c>
      <c r="B6" s="4" t="s">
        <v>13</v>
      </c>
      <c r="C6" s="3" t="s">
        <v>9</v>
      </c>
      <c r="D6" s="7">
        <v>1060</v>
      </c>
      <c r="E6" s="5">
        <v>84.5</v>
      </c>
      <c r="F6" s="5">
        <v>74</v>
      </c>
      <c r="G6" s="6">
        <f t="shared" si="0"/>
        <v>1020.4852071005917</v>
      </c>
      <c r="H6" s="26"/>
    </row>
    <row r="7" spans="1:8" x14ac:dyDescent="0.25">
      <c r="A7" s="3" t="s">
        <v>7</v>
      </c>
      <c r="B7" s="4" t="s">
        <v>14</v>
      </c>
      <c r="C7" s="3" t="s">
        <v>9</v>
      </c>
      <c r="D7" s="7">
        <v>1200</v>
      </c>
      <c r="E7" s="5">
        <v>84.5</v>
      </c>
      <c r="F7" s="5">
        <v>74</v>
      </c>
      <c r="G7" s="6">
        <f t="shared" si="0"/>
        <v>1155.2662721893491</v>
      </c>
      <c r="H7" s="26"/>
    </row>
    <row r="8" spans="1:8" x14ac:dyDescent="0.25">
      <c r="A8" s="3" t="s">
        <v>7</v>
      </c>
      <c r="B8" s="4" t="s">
        <v>15</v>
      </c>
      <c r="C8" s="3" t="s">
        <v>9</v>
      </c>
      <c r="D8" s="7">
        <v>1120</v>
      </c>
      <c r="E8" s="5">
        <v>84.5</v>
      </c>
      <c r="F8" s="5">
        <v>74</v>
      </c>
      <c r="G8" s="6">
        <f t="shared" si="0"/>
        <v>1078.2485207100592</v>
      </c>
      <c r="H8" s="26"/>
    </row>
    <row r="9" spans="1:8" x14ac:dyDescent="0.25">
      <c r="A9" s="3" t="s">
        <v>7</v>
      </c>
      <c r="B9" s="4" t="s">
        <v>16</v>
      </c>
      <c r="C9" s="3" t="s">
        <v>9</v>
      </c>
      <c r="D9" s="7">
        <v>1220</v>
      </c>
      <c r="E9" s="5">
        <v>84.5</v>
      </c>
      <c r="F9" s="5">
        <v>74</v>
      </c>
      <c r="G9" s="6">
        <f t="shared" si="0"/>
        <v>1174.5207100591715</v>
      </c>
      <c r="H9" s="26"/>
    </row>
    <row r="10" spans="1:8" x14ac:dyDescent="0.25">
      <c r="A10" s="3" t="s">
        <v>7</v>
      </c>
      <c r="B10" s="4" t="s">
        <v>17</v>
      </c>
      <c r="C10" s="3" t="s">
        <v>9</v>
      </c>
      <c r="D10" s="7">
        <v>980</v>
      </c>
      <c r="E10" s="5">
        <v>84.5</v>
      </c>
      <c r="F10" s="5">
        <v>74</v>
      </c>
      <c r="G10" s="6">
        <f t="shared" si="0"/>
        <v>943.46745562130172</v>
      </c>
      <c r="H10" s="26"/>
    </row>
    <row r="11" spans="1:8" x14ac:dyDescent="0.25">
      <c r="A11" s="3" t="s">
        <v>7</v>
      </c>
      <c r="B11" s="4" t="s">
        <v>18</v>
      </c>
      <c r="C11" s="3" t="s">
        <v>9</v>
      </c>
      <c r="D11" s="7">
        <v>1200</v>
      </c>
      <c r="E11" s="5">
        <v>84.5</v>
      </c>
      <c r="F11" s="5">
        <v>74</v>
      </c>
      <c r="G11" s="6">
        <f t="shared" si="0"/>
        <v>1155.2662721893491</v>
      </c>
      <c r="H11" s="26"/>
    </row>
    <row r="12" spans="1:8" x14ac:dyDescent="0.25">
      <c r="A12" s="3" t="s">
        <v>7</v>
      </c>
      <c r="B12" s="4" t="s">
        <v>19</v>
      </c>
      <c r="C12" s="3" t="s">
        <v>20</v>
      </c>
      <c r="D12" s="13">
        <v>1250</v>
      </c>
      <c r="E12" s="5">
        <v>84.5</v>
      </c>
      <c r="F12" s="5">
        <v>74</v>
      </c>
      <c r="G12" s="8">
        <f t="shared" si="0"/>
        <v>1203.4023668639054</v>
      </c>
      <c r="H12" s="26"/>
    </row>
    <row r="13" spans="1:8" x14ac:dyDescent="0.25">
      <c r="A13" s="3" t="s">
        <v>7</v>
      </c>
      <c r="B13" s="9" t="s">
        <v>21</v>
      </c>
      <c r="C13" s="10" t="s">
        <v>20</v>
      </c>
      <c r="D13" s="20">
        <v>1250</v>
      </c>
      <c r="E13" s="5">
        <v>84.5</v>
      </c>
      <c r="F13" s="5">
        <v>74</v>
      </c>
      <c r="G13" s="8">
        <f t="shared" si="0"/>
        <v>1203.4023668639054</v>
      </c>
      <c r="H13" s="26"/>
    </row>
    <row r="14" spans="1:8" x14ac:dyDescent="0.25">
      <c r="A14" s="3" t="s">
        <v>7</v>
      </c>
      <c r="B14" s="4" t="s">
        <v>22</v>
      </c>
      <c r="C14" s="10" t="s">
        <v>20</v>
      </c>
      <c r="D14" s="20">
        <v>1220</v>
      </c>
      <c r="E14" s="5">
        <v>84.5</v>
      </c>
      <c r="F14" s="5">
        <v>74</v>
      </c>
      <c r="G14" s="8">
        <f t="shared" si="0"/>
        <v>1174.5207100591715</v>
      </c>
      <c r="H14" s="26"/>
    </row>
    <row r="15" spans="1:8" x14ac:dyDescent="0.25">
      <c r="A15" s="3" t="s">
        <v>7</v>
      </c>
      <c r="B15" s="11" t="s">
        <v>23</v>
      </c>
      <c r="C15" s="25" t="s">
        <v>20</v>
      </c>
      <c r="D15" s="24">
        <v>1250</v>
      </c>
      <c r="E15" s="5">
        <v>84.5</v>
      </c>
      <c r="F15" s="5">
        <v>74</v>
      </c>
      <c r="G15" s="8">
        <f t="shared" si="0"/>
        <v>1203.4023668639054</v>
      </c>
      <c r="H15" s="26"/>
    </row>
    <row r="16" spans="1:8" x14ac:dyDescent="0.25">
      <c r="A16" s="3" t="s">
        <v>7</v>
      </c>
      <c r="B16" s="4" t="s">
        <v>24</v>
      </c>
      <c r="C16" s="12" t="s">
        <v>20</v>
      </c>
      <c r="D16" s="20">
        <v>1250</v>
      </c>
      <c r="E16" s="5">
        <v>84.5</v>
      </c>
      <c r="F16" s="5">
        <v>74</v>
      </c>
      <c r="G16" s="8">
        <f t="shared" si="0"/>
        <v>1203.4023668639054</v>
      </c>
      <c r="H16" s="26"/>
    </row>
    <row r="17" spans="1:8" x14ac:dyDescent="0.25">
      <c r="A17" s="3" t="s">
        <v>7</v>
      </c>
      <c r="B17" s="4" t="s">
        <v>25</v>
      </c>
      <c r="C17" s="3" t="s">
        <v>20</v>
      </c>
      <c r="D17" s="20">
        <v>1220</v>
      </c>
      <c r="E17" s="5">
        <v>84.5</v>
      </c>
      <c r="F17" s="5">
        <v>74</v>
      </c>
      <c r="G17" s="8">
        <f t="shared" si="0"/>
        <v>1174.5207100591715</v>
      </c>
      <c r="H17" s="26"/>
    </row>
    <row r="18" spans="1:8" x14ac:dyDescent="0.25">
      <c r="A18" s="3" t="s">
        <v>7</v>
      </c>
      <c r="B18" s="4" t="s">
        <v>26</v>
      </c>
      <c r="C18" s="3" t="s">
        <v>20</v>
      </c>
      <c r="D18" s="20">
        <v>1250</v>
      </c>
      <c r="E18" s="5">
        <v>84.5</v>
      </c>
      <c r="F18" s="5">
        <v>74</v>
      </c>
      <c r="G18" s="8">
        <f t="shared" si="0"/>
        <v>1203.4023668639054</v>
      </c>
      <c r="H18" s="26"/>
    </row>
    <row r="19" spans="1:8" x14ac:dyDescent="0.25">
      <c r="A19" s="3" t="s">
        <v>7</v>
      </c>
      <c r="B19" s="4" t="s">
        <v>27</v>
      </c>
      <c r="C19" s="3" t="s">
        <v>20</v>
      </c>
      <c r="D19" s="13">
        <v>1220</v>
      </c>
      <c r="E19" s="5">
        <v>84.5</v>
      </c>
      <c r="F19" s="5">
        <v>74</v>
      </c>
      <c r="G19" s="8">
        <f t="shared" si="0"/>
        <v>1174.5207100591715</v>
      </c>
      <c r="H19" s="26"/>
    </row>
    <row r="20" spans="1:8" x14ac:dyDescent="0.25">
      <c r="A20" s="3" t="s">
        <v>7</v>
      </c>
      <c r="B20" s="4" t="s">
        <v>28</v>
      </c>
      <c r="C20" s="3" t="s">
        <v>20</v>
      </c>
      <c r="D20" s="13">
        <v>1250</v>
      </c>
      <c r="E20" s="5">
        <v>84.5</v>
      </c>
      <c r="F20" s="5">
        <v>74</v>
      </c>
      <c r="G20" s="8">
        <f t="shared" si="0"/>
        <v>1203.4023668639054</v>
      </c>
      <c r="H20" s="26"/>
    </row>
    <row r="21" spans="1:8" x14ac:dyDescent="0.25">
      <c r="A21" s="3" t="s">
        <v>7</v>
      </c>
      <c r="B21" s="4" t="s">
        <v>29</v>
      </c>
      <c r="C21" s="3" t="s">
        <v>20</v>
      </c>
      <c r="D21" s="13">
        <v>1220</v>
      </c>
      <c r="E21" s="5">
        <v>84.5</v>
      </c>
      <c r="F21" s="5">
        <v>74</v>
      </c>
      <c r="G21" s="8">
        <f t="shared" si="0"/>
        <v>1174.5207100591715</v>
      </c>
      <c r="H21" s="26"/>
    </row>
    <row r="22" spans="1:8" x14ac:dyDescent="0.25">
      <c r="A22" s="3" t="s">
        <v>7</v>
      </c>
      <c r="B22" s="4" t="s">
        <v>30</v>
      </c>
      <c r="C22" s="3" t="s">
        <v>20</v>
      </c>
      <c r="D22" s="13">
        <v>1320</v>
      </c>
      <c r="E22" s="5">
        <v>84.5</v>
      </c>
      <c r="F22" s="5">
        <v>74</v>
      </c>
      <c r="G22" s="8">
        <f t="shared" si="0"/>
        <v>1270.792899408284</v>
      </c>
      <c r="H22" s="26"/>
    </row>
    <row r="23" spans="1:8" x14ac:dyDescent="0.25">
      <c r="A23" s="3" t="s">
        <v>7</v>
      </c>
      <c r="B23" s="4" t="s">
        <v>31</v>
      </c>
      <c r="C23" s="3" t="s">
        <v>20</v>
      </c>
      <c r="D23" s="13">
        <v>1220</v>
      </c>
      <c r="E23" s="5">
        <v>84.5</v>
      </c>
      <c r="F23" s="5">
        <v>74</v>
      </c>
      <c r="G23" s="8">
        <f t="shared" si="0"/>
        <v>1174.5207100591715</v>
      </c>
      <c r="H23" s="26"/>
    </row>
    <row r="24" spans="1:8" x14ac:dyDescent="0.25">
      <c r="A24" s="3" t="s">
        <v>7</v>
      </c>
      <c r="B24" s="4" t="s">
        <v>32</v>
      </c>
      <c r="C24" s="3" t="s">
        <v>33</v>
      </c>
      <c r="D24" s="41">
        <v>550</v>
      </c>
      <c r="E24" s="5">
        <v>84.5</v>
      </c>
      <c r="F24" s="5">
        <v>74</v>
      </c>
      <c r="G24" s="44">
        <f t="shared" si="0"/>
        <v>529.49704142011831</v>
      </c>
      <c r="H24" s="26"/>
    </row>
    <row r="25" spans="1:8" x14ac:dyDescent="0.25">
      <c r="A25" s="3" t="s">
        <v>7</v>
      </c>
      <c r="B25" s="4" t="s">
        <v>34</v>
      </c>
      <c r="C25" s="3" t="s">
        <v>33</v>
      </c>
      <c r="D25" s="41">
        <v>550</v>
      </c>
      <c r="E25" s="5">
        <v>84.5</v>
      </c>
      <c r="F25" s="5">
        <v>74</v>
      </c>
      <c r="G25" s="44">
        <f t="shared" si="0"/>
        <v>529.49704142011831</v>
      </c>
      <c r="H25" s="26"/>
    </row>
    <row r="26" spans="1:8" x14ac:dyDescent="0.25">
      <c r="A26" s="3" t="s">
        <v>7</v>
      </c>
      <c r="B26" s="4" t="s">
        <v>35</v>
      </c>
      <c r="C26" s="3" t="s">
        <v>33</v>
      </c>
      <c r="D26" s="41">
        <v>780</v>
      </c>
      <c r="E26" s="5">
        <v>84.5</v>
      </c>
      <c r="F26" s="5">
        <v>74</v>
      </c>
      <c r="G26" s="44">
        <f t="shared" si="0"/>
        <v>750.92307692307691</v>
      </c>
      <c r="H26" s="26"/>
    </row>
    <row r="27" spans="1:8" x14ac:dyDescent="0.25">
      <c r="A27" s="3" t="s">
        <v>7</v>
      </c>
      <c r="B27" s="4" t="s">
        <v>36</v>
      </c>
      <c r="C27" s="3" t="s">
        <v>33</v>
      </c>
      <c r="D27" s="41">
        <v>790</v>
      </c>
      <c r="E27" s="5">
        <v>84.5</v>
      </c>
      <c r="F27" s="5">
        <v>74</v>
      </c>
      <c r="G27" s="44">
        <f t="shared" si="0"/>
        <v>760.5502958579882</v>
      </c>
      <c r="H27" s="26"/>
    </row>
    <row r="28" spans="1:8" x14ac:dyDescent="0.25">
      <c r="A28" s="3" t="s">
        <v>7</v>
      </c>
      <c r="B28" s="4" t="s">
        <v>37</v>
      </c>
      <c r="C28" s="3" t="s">
        <v>33</v>
      </c>
      <c r="D28" s="41">
        <v>610</v>
      </c>
      <c r="E28" s="5">
        <v>84.5</v>
      </c>
      <c r="F28" s="5">
        <v>74</v>
      </c>
      <c r="G28" s="44">
        <f t="shared" si="0"/>
        <v>587.26035502958575</v>
      </c>
      <c r="H28" s="26"/>
    </row>
    <row r="29" spans="1:8" x14ac:dyDescent="0.25">
      <c r="A29" s="3" t="s">
        <v>7</v>
      </c>
      <c r="B29" s="14" t="s">
        <v>38</v>
      </c>
      <c r="C29" s="15" t="s">
        <v>39</v>
      </c>
      <c r="D29" s="42">
        <v>1050</v>
      </c>
      <c r="E29" s="5">
        <v>84.5</v>
      </c>
      <c r="F29" s="5">
        <v>74</v>
      </c>
      <c r="G29" s="44">
        <f t="shared" si="0"/>
        <v>1010.8579881656805</v>
      </c>
      <c r="H29" s="26"/>
    </row>
    <row r="30" spans="1:8" x14ac:dyDescent="0.25">
      <c r="A30" s="3" t="s">
        <v>7</v>
      </c>
      <c r="B30" s="4" t="s">
        <v>40</v>
      </c>
      <c r="C30" s="3" t="s">
        <v>41</v>
      </c>
      <c r="D30" s="43">
        <v>760</v>
      </c>
      <c r="E30" s="5">
        <v>84.5</v>
      </c>
      <c r="F30" s="5">
        <v>74</v>
      </c>
      <c r="G30" s="44">
        <f t="shared" si="0"/>
        <v>731.66863905325442</v>
      </c>
      <c r="H30" s="26"/>
    </row>
    <row r="31" spans="1:8" x14ac:dyDescent="0.25">
      <c r="A31" s="3" t="s">
        <v>7</v>
      </c>
      <c r="B31" s="4" t="s">
        <v>42</v>
      </c>
      <c r="C31" s="3" t="s">
        <v>41</v>
      </c>
      <c r="D31" s="43">
        <v>920</v>
      </c>
      <c r="E31" s="5">
        <v>84.5</v>
      </c>
      <c r="F31" s="5">
        <v>74</v>
      </c>
      <c r="G31" s="44">
        <f t="shared" si="0"/>
        <v>885.70414201183428</v>
      </c>
      <c r="H31" s="26"/>
    </row>
    <row r="32" spans="1:8" x14ac:dyDescent="0.25">
      <c r="A32" s="3" t="s">
        <v>7</v>
      </c>
      <c r="B32" s="4" t="s">
        <v>43</v>
      </c>
      <c r="C32" s="3" t="s">
        <v>41</v>
      </c>
      <c r="D32" s="43">
        <v>800</v>
      </c>
      <c r="E32" s="5">
        <v>84.5</v>
      </c>
      <c r="F32" s="5">
        <v>74</v>
      </c>
      <c r="G32" s="44">
        <f t="shared" si="0"/>
        <v>770.17751479289939</v>
      </c>
      <c r="H32" s="26"/>
    </row>
    <row r="33" spans="1:8" x14ac:dyDescent="0.25">
      <c r="A33" s="3" t="s">
        <v>7</v>
      </c>
      <c r="B33" s="4" t="s">
        <v>44</v>
      </c>
      <c r="C33" s="3" t="s">
        <v>45</v>
      </c>
      <c r="D33" s="43">
        <v>2000</v>
      </c>
      <c r="E33" s="5">
        <v>84.5</v>
      </c>
      <c r="F33" s="5">
        <v>74</v>
      </c>
      <c r="G33" s="44">
        <f t="shared" si="0"/>
        <v>1925.4437869822484</v>
      </c>
      <c r="H33" s="26"/>
    </row>
    <row r="34" spans="1:8" x14ac:dyDescent="0.25">
      <c r="A34" s="3" t="s">
        <v>7</v>
      </c>
      <c r="B34" s="4" t="s">
        <v>46</v>
      </c>
      <c r="C34" s="3" t="s">
        <v>47</v>
      </c>
      <c r="D34" s="43">
        <v>1200</v>
      </c>
      <c r="E34" s="5">
        <v>84.5</v>
      </c>
      <c r="F34" s="5">
        <v>74</v>
      </c>
      <c r="G34" s="44">
        <f t="shared" si="0"/>
        <v>1155.2662721893491</v>
      </c>
      <c r="H34" s="26"/>
    </row>
    <row r="35" spans="1:8" x14ac:dyDescent="0.25">
      <c r="A35" s="3" t="s">
        <v>7</v>
      </c>
      <c r="B35" s="4" t="s">
        <v>48</v>
      </c>
      <c r="C35" s="3" t="s">
        <v>49</v>
      </c>
      <c r="D35" s="43">
        <v>2670</v>
      </c>
      <c r="E35" s="5">
        <v>84.5</v>
      </c>
      <c r="F35" s="5">
        <v>74</v>
      </c>
      <c r="G35" s="44">
        <f t="shared" si="0"/>
        <v>2570.4674556213017</v>
      </c>
      <c r="H35" s="26"/>
    </row>
  </sheetData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opLeftCell="A7" workbookViewId="0">
      <selection activeCell="F21" sqref="F21"/>
    </sheetView>
  </sheetViews>
  <sheetFormatPr defaultRowHeight="15" x14ac:dyDescent="0.25"/>
  <cols>
    <col min="1" max="1" width="9.140625" customWidth="1"/>
    <col min="2" max="2" width="19.85546875" customWidth="1"/>
    <col min="3" max="3" width="8.42578125" customWidth="1"/>
    <col min="4" max="4" width="13.42578125" customWidth="1"/>
    <col min="5" max="5" width="8.28515625" customWidth="1"/>
    <col min="6" max="6" width="12" customWidth="1"/>
    <col min="7" max="7" width="8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3" t="s">
        <v>7</v>
      </c>
      <c r="B2" s="4" t="s">
        <v>50</v>
      </c>
      <c r="C2" s="16" t="s">
        <v>51</v>
      </c>
      <c r="D2" s="17">
        <v>800</v>
      </c>
      <c r="E2" s="5">
        <v>84.5</v>
      </c>
      <c r="F2" s="5">
        <v>74</v>
      </c>
      <c r="G2" s="18">
        <f t="shared" ref="G2:G29" si="0">D2*(1+(F2-E2)/E2*0.3)</f>
        <v>770.17751479289939</v>
      </c>
      <c r="H2" s="27"/>
    </row>
    <row r="3" spans="1:8" x14ac:dyDescent="0.25">
      <c r="A3" s="3" t="s">
        <v>7</v>
      </c>
      <c r="B3" s="4" t="s">
        <v>52</v>
      </c>
      <c r="C3" s="16" t="s">
        <v>51</v>
      </c>
      <c r="D3" s="17">
        <v>980</v>
      </c>
      <c r="E3" s="5">
        <v>84.5</v>
      </c>
      <c r="F3" s="5">
        <v>74</v>
      </c>
      <c r="G3" s="18">
        <f t="shared" si="0"/>
        <v>943.46745562130172</v>
      </c>
      <c r="H3" s="27"/>
    </row>
    <row r="4" spans="1:8" x14ac:dyDescent="0.25">
      <c r="A4" s="3" t="s">
        <v>7</v>
      </c>
      <c r="B4" s="4" t="s">
        <v>53</v>
      </c>
      <c r="C4" s="16" t="s">
        <v>51</v>
      </c>
      <c r="D4" s="17">
        <v>700</v>
      </c>
      <c r="E4" s="5">
        <v>84.5</v>
      </c>
      <c r="F4" s="5">
        <v>74</v>
      </c>
      <c r="G4" s="18">
        <f t="shared" si="0"/>
        <v>673.90532544378698</v>
      </c>
      <c r="H4" s="27"/>
    </row>
    <row r="5" spans="1:8" x14ac:dyDescent="0.25">
      <c r="A5" s="3" t="s">
        <v>7</v>
      </c>
      <c r="B5" s="4" t="s">
        <v>54</v>
      </c>
      <c r="C5" s="16" t="s">
        <v>51</v>
      </c>
      <c r="D5" s="17">
        <v>700</v>
      </c>
      <c r="E5" s="5">
        <v>84.5</v>
      </c>
      <c r="F5" s="5">
        <v>74</v>
      </c>
      <c r="G5" s="18">
        <f t="shared" si="0"/>
        <v>673.90532544378698</v>
      </c>
      <c r="H5" s="27"/>
    </row>
    <row r="6" spans="1:8" x14ac:dyDescent="0.25">
      <c r="A6" s="3" t="s">
        <v>7</v>
      </c>
      <c r="B6" s="4" t="s">
        <v>55</v>
      </c>
      <c r="C6" s="16" t="s">
        <v>51</v>
      </c>
      <c r="D6" s="17">
        <v>1080</v>
      </c>
      <c r="E6" s="5">
        <v>84.5</v>
      </c>
      <c r="F6" s="5">
        <v>74</v>
      </c>
      <c r="G6" s="18">
        <f t="shared" si="0"/>
        <v>1039.7396449704142</v>
      </c>
      <c r="H6" s="27"/>
    </row>
    <row r="7" spans="1:8" x14ac:dyDescent="0.25">
      <c r="A7" s="3" t="s">
        <v>7</v>
      </c>
      <c r="B7" s="4" t="s">
        <v>56</v>
      </c>
      <c r="C7" s="19" t="s">
        <v>57</v>
      </c>
      <c r="D7" s="20">
        <v>1170</v>
      </c>
      <c r="E7" s="5">
        <v>84.5</v>
      </c>
      <c r="F7" s="5">
        <v>74</v>
      </c>
      <c r="G7" s="18">
        <f t="shared" si="0"/>
        <v>1126.3846153846155</v>
      </c>
      <c r="H7" s="27"/>
    </row>
    <row r="8" spans="1:8" x14ac:dyDescent="0.25">
      <c r="A8" s="3" t="s">
        <v>7</v>
      </c>
      <c r="B8" s="4" t="s">
        <v>58</v>
      </c>
      <c r="C8" s="19" t="s">
        <v>57</v>
      </c>
      <c r="D8" s="20">
        <v>1360</v>
      </c>
      <c r="E8" s="5">
        <v>84.5</v>
      </c>
      <c r="F8" s="5">
        <v>74</v>
      </c>
      <c r="G8" s="18">
        <f t="shared" si="0"/>
        <v>1309.301775147929</v>
      </c>
      <c r="H8" s="27"/>
    </row>
    <row r="9" spans="1:8" x14ac:dyDescent="0.25">
      <c r="A9" s="3" t="s">
        <v>7</v>
      </c>
      <c r="B9" s="4" t="s">
        <v>59</v>
      </c>
      <c r="C9" s="19" t="s">
        <v>57</v>
      </c>
      <c r="D9" s="20">
        <v>1170</v>
      </c>
      <c r="E9" s="5">
        <v>84.5</v>
      </c>
      <c r="F9" s="5">
        <v>74</v>
      </c>
      <c r="G9" s="18">
        <f t="shared" si="0"/>
        <v>1126.3846153846155</v>
      </c>
      <c r="H9" s="27"/>
    </row>
    <row r="10" spans="1:8" x14ac:dyDescent="0.25">
      <c r="A10" s="3" t="s">
        <v>7</v>
      </c>
      <c r="B10" s="4" t="s">
        <v>60</v>
      </c>
      <c r="C10" s="19" t="s">
        <v>57</v>
      </c>
      <c r="D10" s="21">
        <v>1360</v>
      </c>
      <c r="E10" s="5">
        <v>84.5</v>
      </c>
      <c r="F10" s="5">
        <v>74</v>
      </c>
      <c r="G10" s="18">
        <f t="shared" si="0"/>
        <v>1309.301775147929</v>
      </c>
      <c r="H10" s="27"/>
    </row>
    <row r="11" spans="1:8" x14ac:dyDescent="0.25">
      <c r="A11" s="3" t="s">
        <v>7</v>
      </c>
      <c r="B11" s="4" t="s">
        <v>61</v>
      </c>
      <c r="C11" s="19" t="s">
        <v>57</v>
      </c>
      <c r="D11" s="21">
        <v>1250</v>
      </c>
      <c r="E11" s="5">
        <v>84.5</v>
      </c>
      <c r="F11" s="5">
        <v>74</v>
      </c>
      <c r="G11" s="18">
        <f t="shared" si="0"/>
        <v>1203.4023668639054</v>
      </c>
      <c r="H11" s="27"/>
    </row>
    <row r="12" spans="1:8" x14ac:dyDescent="0.25">
      <c r="A12" s="3" t="s">
        <v>7</v>
      </c>
      <c r="B12" s="4" t="s">
        <v>62</v>
      </c>
      <c r="C12" s="19" t="s">
        <v>57</v>
      </c>
      <c r="D12" s="21">
        <v>1070</v>
      </c>
      <c r="E12" s="5">
        <v>84.5</v>
      </c>
      <c r="F12" s="5">
        <v>74</v>
      </c>
      <c r="G12" s="18">
        <f t="shared" si="0"/>
        <v>1030.1124260355029</v>
      </c>
      <c r="H12" s="27"/>
    </row>
    <row r="13" spans="1:8" x14ac:dyDescent="0.25">
      <c r="A13" s="3" t="s">
        <v>7</v>
      </c>
      <c r="B13" s="4" t="s">
        <v>63</v>
      </c>
      <c r="C13" s="19" t="s">
        <v>57</v>
      </c>
      <c r="D13" s="21">
        <v>1170</v>
      </c>
      <c r="E13" s="5">
        <v>84.5</v>
      </c>
      <c r="F13" s="5">
        <v>74</v>
      </c>
      <c r="G13" s="18">
        <f t="shared" si="0"/>
        <v>1126.3846153846155</v>
      </c>
      <c r="H13" s="27"/>
    </row>
    <row r="14" spans="1:8" x14ac:dyDescent="0.25">
      <c r="A14" s="3" t="s">
        <v>7</v>
      </c>
      <c r="B14" s="4" t="s">
        <v>64</v>
      </c>
      <c r="C14" s="19" t="s">
        <v>57</v>
      </c>
      <c r="D14" s="21">
        <v>1070</v>
      </c>
      <c r="E14" s="5">
        <v>84.5</v>
      </c>
      <c r="F14" s="5">
        <v>74</v>
      </c>
      <c r="G14" s="18">
        <f t="shared" si="0"/>
        <v>1030.1124260355029</v>
      </c>
      <c r="H14" s="27"/>
    </row>
    <row r="15" spans="1:8" x14ac:dyDescent="0.25">
      <c r="A15" s="3" t="s">
        <v>7</v>
      </c>
      <c r="B15" s="4" t="s">
        <v>65</v>
      </c>
      <c r="C15" s="19" t="s">
        <v>57</v>
      </c>
      <c r="D15" s="21">
        <v>1170</v>
      </c>
      <c r="E15" s="5">
        <v>84.5</v>
      </c>
      <c r="F15" s="5">
        <v>74</v>
      </c>
      <c r="G15" s="18">
        <f t="shared" si="0"/>
        <v>1126.3846153846155</v>
      </c>
      <c r="H15" s="27"/>
    </row>
    <row r="16" spans="1:8" x14ac:dyDescent="0.25">
      <c r="A16" s="3" t="s">
        <v>7</v>
      </c>
      <c r="B16" s="4" t="s">
        <v>66</v>
      </c>
      <c r="C16" s="19" t="s">
        <v>57</v>
      </c>
      <c r="D16" s="21">
        <v>1170</v>
      </c>
      <c r="E16" s="5">
        <v>84.5</v>
      </c>
      <c r="F16" s="5">
        <v>74</v>
      </c>
      <c r="G16" s="18">
        <f t="shared" si="0"/>
        <v>1126.3846153846155</v>
      </c>
      <c r="H16" s="27"/>
    </row>
    <row r="17" spans="1:8" x14ac:dyDescent="0.25">
      <c r="A17" s="3" t="s">
        <v>7</v>
      </c>
      <c r="B17" s="4" t="s">
        <v>67</v>
      </c>
      <c r="C17" s="19" t="s">
        <v>57</v>
      </c>
      <c r="D17" s="21">
        <v>1170</v>
      </c>
      <c r="E17" s="5">
        <v>84.5</v>
      </c>
      <c r="F17" s="5">
        <v>74</v>
      </c>
      <c r="G17" s="18">
        <f t="shared" si="0"/>
        <v>1126.3846153846155</v>
      </c>
      <c r="H17" s="27"/>
    </row>
    <row r="18" spans="1:8" x14ac:dyDescent="0.25">
      <c r="A18" s="3" t="s">
        <v>7</v>
      </c>
      <c r="B18" s="4" t="s">
        <v>68</v>
      </c>
      <c r="C18" s="19" t="s">
        <v>57</v>
      </c>
      <c r="D18" s="21">
        <v>1120</v>
      </c>
      <c r="E18" s="5">
        <v>84.5</v>
      </c>
      <c r="F18" s="5">
        <v>74</v>
      </c>
      <c r="G18" s="18">
        <f t="shared" si="0"/>
        <v>1078.2485207100592</v>
      </c>
      <c r="H18" s="27"/>
    </row>
    <row r="19" spans="1:8" x14ac:dyDescent="0.25">
      <c r="A19" s="3" t="s">
        <v>7</v>
      </c>
      <c r="B19" s="4" t="s">
        <v>69</v>
      </c>
      <c r="C19" s="19" t="s">
        <v>57</v>
      </c>
      <c r="D19" s="21">
        <v>1170</v>
      </c>
      <c r="E19" s="5">
        <v>84.5</v>
      </c>
      <c r="F19" s="5">
        <v>74</v>
      </c>
      <c r="G19" s="18">
        <f t="shared" si="0"/>
        <v>1126.3846153846155</v>
      </c>
      <c r="H19" s="27"/>
    </row>
    <row r="20" spans="1:8" x14ac:dyDescent="0.25">
      <c r="A20" s="3" t="s">
        <v>7</v>
      </c>
      <c r="B20" s="4" t="s">
        <v>70</v>
      </c>
      <c r="C20" s="19" t="s">
        <v>57</v>
      </c>
      <c r="D20" s="21">
        <v>1260</v>
      </c>
      <c r="E20" s="5">
        <v>84.5</v>
      </c>
      <c r="F20" s="5">
        <v>74</v>
      </c>
      <c r="G20" s="18">
        <f t="shared" si="0"/>
        <v>1213.0295857988165</v>
      </c>
      <c r="H20" s="27"/>
    </row>
    <row r="21" spans="1:8" x14ac:dyDescent="0.25">
      <c r="A21" s="3" t="s">
        <v>7</v>
      </c>
      <c r="B21" s="4" t="s">
        <v>71</v>
      </c>
      <c r="C21" s="19" t="s">
        <v>57</v>
      </c>
      <c r="D21" s="21">
        <v>1020</v>
      </c>
      <c r="E21" s="5">
        <v>84.5</v>
      </c>
      <c r="F21" s="5">
        <v>74</v>
      </c>
      <c r="G21" s="18">
        <f t="shared" si="0"/>
        <v>981.97633136094669</v>
      </c>
      <c r="H21" s="27"/>
    </row>
    <row r="22" spans="1:8" x14ac:dyDescent="0.25">
      <c r="A22" s="3" t="s">
        <v>7</v>
      </c>
      <c r="B22" s="4" t="s">
        <v>72</v>
      </c>
      <c r="C22" s="19" t="s">
        <v>57</v>
      </c>
      <c r="D22" s="21">
        <v>1260</v>
      </c>
      <c r="E22" s="5">
        <v>84.5</v>
      </c>
      <c r="F22" s="5">
        <v>74</v>
      </c>
      <c r="G22" s="18">
        <f t="shared" si="0"/>
        <v>1213.0295857988165</v>
      </c>
      <c r="H22" s="27"/>
    </row>
    <row r="23" spans="1:8" x14ac:dyDescent="0.25">
      <c r="A23" s="3" t="s">
        <v>7</v>
      </c>
      <c r="B23" s="4" t="s">
        <v>73</v>
      </c>
      <c r="C23" s="19" t="s">
        <v>57</v>
      </c>
      <c r="D23" s="21">
        <v>1170</v>
      </c>
      <c r="E23" s="5">
        <v>84.5</v>
      </c>
      <c r="F23" s="5">
        <v>74</v>
      </c>
      <c r="G23" s="18">
        <f t="shared" si="0"/>
        <v>1126.3846153846155</v>
      </c>
      <c r="H23" s="27"/>
    </row>
    <row r="24" spans="1:8" x14ac:dyDescent="0.25">
      <c r="A24" s="3" t="s">
        <v>7</v>
      </c>
      <c r="B24" s="4" t="s">
        <v>74</v>
      </c>
      <c r="C24" s="19" t="s">
        <v>57</v>
      </c>
      <c r="D24" s="21">
        <v>1070</v>
      </c>
      <c r="E24" s="5">
        <v>84.5</v>
      </c>
      <c r="F24" s="5">
        <v>74</v>
      </c>
      <c r="G24" s="18">
        <f t="shared" si="0"/>
        <v>1030.1124260355029</v>
      </c>
      <c r="H24" s="27"/>
    </row>
    <row r="25" spans="1:8" x14ac:dyDescent="0.25">
      <c r="A25" s="3" t="s">
        <v>7</v>
      </c>
      <c r="B25" s="4" t="s">
        <v>75</v>
      </c>
      <c r="C25" s="19" t="s">
        <v>57</v>
      </c>
      <c r="D25" s="21">
        <v>1070</v>
      </c>
      <c r="E25" s="5">
        <v>84.5</v>
      </c>
      <c r="F25" s="5">
        <v>74</v>
      </c>
      <c r="G25" s="18">
        <f t="shared" si="0"/>
        <v>1030.1124260355029</v>
      </c>
      <c r="H25" s="27"/>
    </row>
    <row r="26" spans="1:8" x14ac:dyDescent="0.25">
      <c r="A26" s="3" t="s">
        <v>7</v>
      </c>
      <c r="B26" s="4" t="s">
        <v>76</v>
      </c>
      <c r="C26" s="19" t="s">
        <v>57</v>
      </c>
      <c r="D26" s="21">
        <v>1260</v>
      </c>
      <c r="E26" s="5">
        <v>84.5</v>
      </c>
      <c r="F26" s="5">
        <v>74</v>
      </c>
      <c r="G26" s="18">
        <f t="shared" si="0"/>
        <v>1213.0295857988165</v>
      </c>
      <c r="H26" s="27"/>
    </row>
    <row r="27" spans="1:8" x14ac:dyDescent="0.25">
      <c r="A27" s="3" t="s">
        <v>7</v>
      </c>
      <c r="B27" s="4" t="s">
        <v>77</v>
      </c>
      <c r="C27" s="19" t="s">
        <v>57</v>
      </c>
      <c r="D27" s="21">
        <v>1070</v>
      </c>
      <c r="E27" s="5">
        <v>84.5</v>
      </c>
      <c r="F27" s="5">
        <v>74</v>
      </c>
      <c r="G27" s="18">
        <f t="shared" si="0"/>
        <v>1030.1124260355029</v>
      </c>
      <c r="H27" s="27"/>
    </row>
    <row r="28" spans="1:8" x14ac:dyDescent="0.25">
      <c r="A28" s="3" t="s">
        <v>7</v>
      </c>
      <c r="B28" s="4" t="s">
        <v>78</v>
      </c>
      <c r="C28" s="19" t="s">
        <v>57</v>
      </c>
      <c r="D28" s="21">
        <v>1170</v>
      </c>
      <c r="E28" s="5">
        <v>84.5</v>
      </c>
      <c r="F28" s="5">
        <v>74</v>
      </c>
      <c r="G28" s="18">
        <f t="shared" si="0"/>
        <v>1126.3846153846155</v>
      </c>
      <c r="H28" s="27"/>
    </row>
    <row r="29" spans="1:8" x14ac:dyDescent="0.25">
      <c r="A29" s="3" t="s">
        <v>7</v>
      </c>
      <c r="B29" s="4" t="s">
        <v>79</v>
      </c>
      <c r="C29" s="19" t="s">
        <v>57</v>
      </c>
      <c r="D29" s="21">
        <v>1260</v>
      </c>
      <c r="E29" s="5">
        <v>84.5</v>
      </c>
      <c r="F29" s="5">
        <v>74</v>
      </c>
      <c r="G29" s="18">
        <f t="shared" si="0"/>
        <v>1213.0295857988165</v>
      </c>
      <c r="H29" s="27"/>
    </row>
  </sheetData>
  <pageMargins left="0.70000000000000007" right="0.70000000000000007" top="0.75" bottom="0.75" header="0.30000000000000004" footer="0.3000000000000000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tabSelected="1" workbookViewId="0">
      <selection activeCell="L6" sqref="L6"/>
    </sheetView>
  </sheetViews>
  <sheetFormatPr defaultRowHeight="15" x14ac:dyDescent="0.25"/>
  <cols>
    <col min="1" max="1" width="6.140625" customWidth="1"/>
    <col min="2" max="2" width="13.42578125" customWidth="1"/>
    <col min="3" max="3" width="7.140625" customWidth="1"/>
    <col min="4" max="4" width="9.28515625" style="22" customWidth="1"/>
    <col min="5" max="5" width="6.140625" customWidth="1"/>
    <col min="6" max="6" width="9.28515625" customWidth="1"/>
    <col min="7" max="7" width="8.140625" customWidth="1"/>
    <col min="9" max="9" width="9.5703125" customWidth="1"/>
  </cols>
  <sheetData>
    <row r="1" spans="1:9" ht="36" x14ac:dyDescent="0.25">
      <c r="A1" s="28" t="s">
        <v>0</v>
      </c>
      <c r="B1" s="28" t="s">
        <v>1</v>
      </c>
      <c r="C1" s="29" t="s">
        <v>89</v>
      </c>
      <c r="D1" s="29" t="s">
        <v>90</v>
      </c>
      <c r="E1" s="28" t="s">
        <v>91</v>
      </c>
      <c r="F1" s="29" t="s">
        <v>92</v>
      </c>
      <c r="G1" s="29" t="s">
        <v>93</v>
      </c>
      <c r="H1" s="30" t="s">
        <v>94</v>
      </c>
      <c r="I1" s="31" t="s">
        <v>99</v>
      </c>
    </row>
    <row r="2" spans="1:9" x14ac:dyDescent="0.25">
      <c r="A2" s="32" t="s">
        <v>7</v>
      </c>
      <c r="B2" s="33" t="s">
        <v>80</v>
      </c>
      <c r="C2" s="34">
        <v>850</v>
      </c>
      <c r="D2" s="35">
        <v>84.5</v>
      </c>
      <c r="E2" s="35">
        <v>74</v>
      </c>
      <c r="F2" s="36">
        <v>320</v>
      </c>
      <c r="G2" s="36">
        <f>E2-D2</f>
        <v>-10.5</v>
      </c>
      <c r="H2" s="37">
        <f>(F2*G2)/61.5</f>
        <v>-54.634146341463413</v>
      </c>
      <c r="I2" s="38">
        <f>C2+H2</f>
        <v>795.36585365853659</v>
      </c>
    </row>
    <row r="3" spans="1:9" x14ac:dyDescent="0.25">
      <c r="A3" s="32" t="s">
        <v>7</v>
      </c>
      <c r="B3" s="33" t="s">
        <v>95</v>
      </c>
      <c r="C3" s="39">
        <v>850</v>
      </c>
      <c r="D3" s="35">
        <v>84.5</v>
      </c>
      <c r="E3" s="35">
        <v>74</v>
      </c>
      <c r="F3" s="36">
        <v>290</v>
      </c>
      <c r="G3" s="36">
        <f t="shared" ref="G3:G14" si="0">E3-D3</f>
        <v>-10.5</v>
      </c>
      <c r="H3" s="37">
        <f t="shared" ref="H3:H14" si="1">(F3*G3)/61.5</f>
        <v>-49.512195121951223</v>
      </c>
      <c r="I3" s="38">
        <f t="shared" ref="I3:I14" si="2">C3+H3</f>
        <v>800.48780487804879</v>
      </c>
    </row>
    <row r="4" spans="1:9" x14ac:dyDescent="0.25">
      <c r="A4" s="32" t="s">
        <v>7</v>
      </c>
      <c r="B4" s="33" t="s">
        <v>81</v>
      </c>
      <c r="C4" s="39">
        <v>690</v>
      </c>
      <c r="D4" s="35">
        <v>84.5</v>
      </c>
      <c r="E4" s="35">
        <v>74</v>
      </c>
      <c r="F4" s="36">
        <v>250</v>
      </c>
      <c r="G4" s="36">
        <f t="shared" si="0"/>
        <v>-10.5</v>
      </c>
      <c r="H4" s="37">
        <f t="shared" si="1"/>
        <v>-42.68292682926829</v>
      </c>
      <c r="I4" s="38">
        <f t="shared" si="2"/>
        <v>647.31707317073176</v>
      </c>
    </row>
    <row r="5" spans="1:9" x14ac:dyDescent="0.25">
      <c r="A5" s="32" t="s">
        <v>7</v>
      </c>
      <c r="B5" s="33" t="s">
        <v>82</v>
      </c>
      <c r="C5" s="39">
        <v>750</v>
      </c>
      <c r="D5" s="35">
        <v>84.5</v>
      </c>
      <c r="E5" s="35">
        <v>74</v>
      </c>
      <c r="F5" s="36">
        <v>250</v>
      </c>
      <c r="G5" s="36">
        <f t="shared" si="0"/>
        <v>-10.5</v>
      </c>
      <c r="H5" s="37">
        <f t="shared" si="1"/>
        <v>-42.68292682926829</v>
      </c>
      <c r="I5" s="38">
        <f t="shared" si="2"/>
        <v>707.31707317073176</v>
      </c>
    </row>
    <row r="6" spans="1:9" x14ac:dyDescent="0.25">
      <c r="A6" s="32" t="s">
        <v>7</v>
      </c>
      <c r="B6" s="33" t="s">
        <v>96</v>
      </c>
      <c r="C6" s="40">
        <v>600</v>
      </c>
      <c r="D6" s="35">
        <v>84.5</v>
      </c>
      <c r="E6" s="35">
        <v>74</v>
      </c>
      <c r="F6" s="36">
        <v>180</v>
      </c>
      <c r="G6" s="36">
        <f t="shared" si="0"/>
        <v>-10.5</v>
      </c>
      <c r="H6" s="37">
        <f t="shared" si="1"/>
        <v>-30.73170731707317</v>
      </c>
      <c r="I6" s="38">
        <f t="shared" si="2"/>
        <v>569.26829268292681</v>
      </c>
    </row>
    <row r="7" spans="1:9" x14ac:dyDescent="0.25">
      <c r="A7" s="32" t="s">
        <v>7</v>
      </c>
      <c r="B7" s="33" t="s">
        <v>83</v>
      </c>
      <c r="C7" s="39">
        <v>430</v>
      </c>
      <c r="D7" s="35">
        <v>84.5</v>
      </c>
      <c r="E7" s="35">
        <v>74</v>
      </c>
      <c r="F7" s="36">
        <v>150</v>
      </c>
      <c r="G7" s="36">
        <f t="shared" si="0"/>
        <v>-10.5</v>
      </c>
      <c r="H7" s="37">
        <f t="shared" si="1"/>
        <v>-25.609756097560975</v>
      </c>
      <c r="I7" s="38">
        <f t="shared" si="2"/>
        <v>404.39024390243901</v>
      </c>
    </row>
    <row r="8" spans="1:9" x14ac:dyDescent="0.25">
      <c r="A8" s="32" t="s">
        <v>7</v>
      </c>
      <c r="B8" s="33" t="s">
        <v>84</v>
      </c>
      <c r="C8" s="39">
        <v>460</v>
      </c>
      <c r="D8" s="35">
        <v>84.5</v>
      </c>
      <c r="E8" s="35">
        <v>74</v>
      </c>
      <c r="F8" s="36">
        <v>150</v>
      </c>
      <c r="G8" s="36">
        <f t="shared" si="0"/>
        <v>-10.5</v>
      </c>
      <c r="H8" s="37">
        <f t="shared" si="1"/>
        <v>-25.609756097560975</v>
      </c>
      <c r="I8" s="38">
        <f t="shared" si="2"/>
        <v>434.39024390243901</v>
      </c>
    </row>
    <row r="9" spans="1:9" x14ac:dyDescent="0.25">
      <c r="A9" s="32" t="s">
        <v>7</v>
      </c>
      <c r="B9" s="33" t="s">
        <v>97</v>
      </c>
      <c r="C9" s="39">
        <v>370</v>
      </c>
      <c r="D9" s="35">
        <v>84.5</v>
      </c>
      <c r="E9" s="35">
        <v>74</v>
      </c>
      <c r="F9" s="36">
        <v>120</v>
      </c>
      <c r="G9" s="36">
        <f t="shared" si="0"/>
        <v>-10.5</v>
      </c>
      <c r="H9" s="37">
        <f t="shared" si="1"/>
        <v>-20.487804878048781</v>
      </c>
      <c r="I9" s="38">
        <f t="shared" si="2"/>
        <v>349.51219512195121</v>
      </c>
    </row>
    <row r="10" spans="1:9" x14ac:dyDescent="0.25">
      <c r="A10" s="32" t="s">
        <v>7</v>
      </c>
      <c r="B10" s="33" t="s">
        <v>85</v>
      </c>
      <c r="C10" s="39">
        <v>690</v>
      </c>
      <c r="D10" s="35">
        <v>84.5</v>
      </c>
      <c r="E10" s="35">
        <v>74</v>
      </c>
      <c r="F10" s="36">
        <v>250</v>
      </c>
      <c r="G10" s="36">
        <f t="shared" si="0"/>
        <v>-10.5</v>
      </c>
      <c r="H10" s="37">
        <f t="shared" si="1"/>
        <v>-42.68292682926829</v>
      </c>
      <c r="I10" s="38">
        <f t="shared" si="2"/>
        <v>647.31707317073176</v>
      </c>
    </row>
    <row r="11" spans="1:9" x14ac:dyDescent="0.25">
      <c r="A11" s="32" t="s">
        <v>7</v>
      </c>
      <c r="B11" s="33" t="s">
        <v>88</v>
      </c>
      <c r="C11" s="39">
        <v>700</v>
      </c>
      <c r="D11" s="35">
        <v>84.5</v>
      </c>
      <c r="E11" s="35">
        <v>74</v>
      </c>
      <c r="F11" s="36">
        <v>250</v>
      </c>
      <c r="G11" s="36">
        <f t="shared" si="0"/>
        <v>-10.5</v>
      </c>
      <c r="H11" s="37">
        <f t="shared" si="1"/>
        <v>-42.68292682926829</v>
      </c>
      <c r="I11" s="38">
        <f t="shared" si="2"/>
        <v>657.31707317073176</v>
      </c>
    </row>
    <row r="12" spans="1:9" x14ac:dyDescent="0.25">
      <c r="A12" s="32" t="s">
        <v>7</v>
      </c>
      <c r="B12" s="33" t="s">
        <v>98</v>
      </c>
      <c r="C12" s="39">
        <v>910</v>
      </c>
      <c r="D12" s="35">
        <v>84.5</v>
      </c>
      <c r="E12" s="35">
        <v>74</v>
      </c>
      <c r="F12" s="36">
        <v>320</v>
      </c>
      <c r="G12" s="36">
        <f t="shared" si="0"/>
        <v>-10.5</v>
      </c>
      <c r="H12" s="37">
        <f t="shared" si="1"/>
        <v>-54.634146341463413</v>
      </c>
      <c r="I12" s="38">
        <f t="shared" si="2"/>
        <v>855.36585365853659</v>
      </c>
    </row>
    <row r="13" spans="1:9" x14ac:dyDescent="0.25">
      <c r="A13" s="32" t="s">
        <v>7</v>
      </c>
      <c r="B13" s="33" t="s">
        <v>86</v>
      </c>
      <c r="C13" s="39">
        <v>690</v>
      </c>
      <c r="D13" s="35">
        <v>84.5</v>
      </c>
      <c r="E13" s="35">
        <v>74</v>
      </c>
      <c r="F13" s="36">
        <v>250</v>
      </c>
      <c r="G13" s="36">
        <f t="shared" si="0"/>
        <v>-10.5</v>
      </c>
      <c r="H13" s="37">
        <f t="shared" si="1"/>
        <v>-42.68292682926829</v>
      </c>
      <c r="I13" s="38">
        <f t="shared" si="2"/>
        <v>647.31707317073176</v>
      </c>
    </row>
    <row r="14" spans="1:9" x14ac:dyDescent="0.25">
      <c r="A14" s="32" t="s">
        <v>7</v>
      </c>
      <c r="B14" s="33" t="s">
        <v>87</v>
      </c>
      <c r="C14" s="39">
        <v>900</v>
      </c>
      <c r="D14" s="35">
        <v>84.5</v>
      </c>
      <c r="E14" s="35">
        <v>74</v>
      </c>
      <c r="F14" s="36">
        <v>320</v>
      </c>
      <c r="G14" s="36">
        <f t="shared" si="0"/>
        <v>-10.5</v>
      </c>
      <c r="H14" s="37">
        <f t="shared" si="1"/>
        <v>-54.634146341463413</v>
      </c>
      <c r="I14" s="38">
        <f t="shared" si="2"/>
        <v>845.36585365853659</v>
      </c>
    </row>
  </sheetData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Balkan_Region</vt:lpstr>
      <vt:lpstr>Ro_&amp;_Bg_Region</vt:lpstr>
      <vt:lpstr>Greece_Region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Risteski, Dragan</dc:creator>
  <cp:lastModifiedBy>Risteski, Dragan</cp:lastModifiedBy>
  <cp:lastPrinted>2023-05-09T13:49:57Z</cp:lastPrinted>
  <dcterms:created xsi:type="dcterms:W3CDTF">2022-12-04T11:05:24Z</dcterms:created>
  <dcterms:modified xsi:type="dcterms:W3CDTF">2023-12-15T10:03:00Z</dcterms:modified>
</cp:coreProperties>
</file>